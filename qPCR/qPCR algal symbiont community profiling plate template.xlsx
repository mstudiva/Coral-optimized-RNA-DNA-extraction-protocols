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.studivan/Documents/GitHub/Coral-optimized-RNA-DNA-extraction-protocols/qPCR/"/>
    </mc:Choice>
  </mc:AlternateContent>
  <xr:revisionPtr revIDLastSave="0" documentId="8_{51D659D4-72C1-804B-9C9C-1086A74F744A}" xr6:coauthVersionLast="47" xr6:coauthVersionMax="47" xr10:uidLastSave="{00000000-0000-0000-0000-000000000000}"/>
  <bookViews>
    <workbookView xWindow="1100" yWindow="900" windowWidth="28040" windowHeight="17180" xr2:uid="{01E70FD2-62BA-B744-B9F1-39E9DA798A39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2" l="1"/>
  <c r="S17" i="2"/>
  <c r="S16" i="2"/>
  <c r="S15" i="2"/>
  <c r="S14" i="2"/>
  <c r="S18" i="2" s="1"/>
  <c r="S12" i="2"/>
</calcChain>
</file>

<file path=xl/sharedStrings.xml><?xml version="1.0" encoding="utf-8"?>
<sst xmlns="http://schemas.openxmlformats.org/spreadsheetml/2006/main" count="47" uniqueCount="23">
  <si>
    <t>Plate 1</t>
  </si>
  <si>
    <t>Species</t>
  </si>
  <si>
    <t>Primer</t>
  </si>
  <si>
    <t>Host</t>
  </si>
  <si>
    <t>A</t>
  </si>
  <si>
    <t>B</t>
  </si>
  <si>
    <t>C</t>
  </si>
  <si>
    <t>D</t>
  </si>
  <si>
    <t>E</t>
  </si>
  <si>
    <t>F</t>
  </si>
  <si>
    <t>G</t>
  </si>
  <si>
    <t>H</t>
  </si>
  <si>
    <t>Component</t>
  </si>
  <si>
    <t>per rxn</t>
  </si>
  <si>
    <t>Plate 2</t>
  </si>
  <si>
    <t>NTC</t>
  </si>
  <si>
    <t>NFW</t>
  </si>
  <si>
    <t>100 uM Forward</t>
  </si>
  <si>
    <t>100 uM Reverse</t>
  </si>
  <si>
    <t>Total</t>
  </si>
  <si>
    <t>x4 Master Mixes</t>
  </si>
  <si>
    <t>Date</t>
  </si>
  <si>
    <t xml:space="preserve">SYBR Green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</si>
</sst>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m/d/yyyy"/>
    <numFmt numFmtId="169" formatCode="00"/>
    <numFmt numFmtId="170" formatCode="0.0"/>
  </numFmts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</fills>
  <borders count="3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168" fontId="1" fillId="0" borderId="1" xfId="0" applyNumberFormat="1" applyFont="1" applyBorder="1"/>
    <xf numFmtId="168" fontId="2" fillId="0" borderId="2" xfId="0" applyNumberFormat="1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2" borderId="0" xfId="0" applyFont="1" applyFill="1" applyAlignment="1">
      <alignment horizontal="center"/>
    </xf>
    <xf numFmtId="0" fontId="1" fillId="0" borderId="5" xfId="0" applyFont="1" applyBorder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169" fontId="1" fillId="3" borderId="6" xfId="0" applyNumberFormat="1" applyFont="1" applyFill="1" applyBorder="1" applyAlignment="1">
      <alignment horizontal="center"/>
    </xf>
    <xf numFmtId="169" fontId="1" fillId="3" borderId="7" xfId="0" applyNumberFormat="1" applyFont="1" applyFill="1" applyBorder="1" applyAlignment="1">
      <alignment horizontal="center"/>
    </xf>
    <xf numFmtId="0" fontId="3" fillId="0" borderId="4" xfId="0" applyFont="1" applyBorder="1"/>
    <xf numFmtId="0" fontId="0" fillId="0" borderId="0" xfId="0"/>
    <xf numFmtId="169" fontId="1" fillId="3" borderId="8" xfId="0" applyNumberFormat="1" applyFont="1" applyFill="1" applyBorder="1" applyAlignment="1">
      <alignment horizontal="center"/>
    </xf>
    <xf numFmtId="169" fontId="1" fillId="3" borderId="9" xfId="0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169" fontId="1" fillId="4" borderId="8" xfId="0" applyNumberFormat="1" applyFont="1" applyFill="1" applyBorder="1" applyAlignment="1">
      <alignment horizontal="center"/>
    </xf>
    <xf numFmtId="169" fontId="1" fillId="4" borderId="9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169" fontId="1" fillId="5" borderId="8" xfId="0" applyNumberFormat="1" applyFont="1" applyFill="1" applyBorder="1" applyAlignment="1">
      <alignment horizontal="center"/>
    </xf>
    <xf numFmtId="169" fontId="1" fillId="5" borderId="9" xfId="0" applyNumberFormat="1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169" fontId="1" fillId="6" borderId="8" xfId="0" applyNumberFormat="1" applyFont="1" applyFill="1" applyBorder="1" applyAlignment="1">
      <alignment horizontal="center"/>
    </xf>
    <xf numFmtId="169" fontId="1" fillId="6" borderId="9" xfId="0" applyNumberFormat="1" applyFont="1" applyFill="1" applyBorder="1" applyAlignment="1">
      <alignment horizontal="center"/>
    </xf>
    <xf numFmtId="169" fontId="1" fillId="6" borderId="10" xfId="0" applyNumberFormat="1" applyFont="1" applyFill="1" applyBorder="1" applyAlignment="1">
      <alignment horizontal="center"/>
    </xf>
    <xf numFmtId="169" fontId="1" fillId="6" borderId="11" xfId="0" applyNumberFormat="1" applyFont="1" applyFill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 applyAlignment="1">
      <alignment wrapText="1"/>
    </xf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right"/>
    </xf>
    <xf numFmtId="170" fontId="1" fillId="0" borderId="20" xfId="0" applyNumberFormat="1" applyFont="1" applyBorder="1" applyAlignment="1">
      <alignment horizontal="right"/>
    </xf>
    <xf numFmtId="0" fontId="1" fillId="3" borderId="21" xfId="0" applyFont="1" applyFill="1" applyBorder="1" applyAlignment="1">
      <alignment horizontal="center"/>
    </xf>
    <xf numFmtId="170" fontId="1" fillId="0" borderId="19" xfId="0" applyNumberFormat="1" applyFont="1" applyBorder="1" applyAlignment="1">
      <alignment horizontal="right"/>
    </xf>
    <xf numFmtId="0" fontId="1" fillId="3" borderId="22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 applyAlignment="1">
      <alignment horizontal="right"/>
    </xf>
    <xf numFmtId="0" fontId="2" fillId="0" borderId="15" xfId="0" applyFont="1" applyBorder="1"/>
    <xf numFmtId="170" fontId="2" fillId="0" borderId="16" xfId="0" applyNumberFormat="1" applyFont="1" applyBorder="1" applyAlignment="1">
      <alignment horizontal="right"/>
    </xf>
    <xf numFmtId="170" fontId="2" fillId="0" borderId="23" xfId="0" applyNumberFormat="1" applyFont="1" applyBorder="1" applyAlignment="1">
      <alignment horizontal="right"/>
    </xf>
    <xf numFmtId="0" fontId="1" fillId="5" borderId="22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3" fillId="0" borderId="24" xfId="0" applyFont="1" applyBorder="1"/>
    <xf numFmtId="0" fontId="3" fillId="0" borderId="25" xfId="0" applyFont="1" applyBorder="1"/>
    <xf numFmtId="0" fontId="1" fillId="0" borderId="25" xfId="0" applyFont="1" applyBorder="1" applyAlignment="1">
      <alignment horizontal="center"/>
    </xf>
    <xf numFmtId="169" fontId="1" fillId="6" borderId="26" xfId="0" applyNumberFormat="1" applyFont="1" applyFill="1" applyBorder="1" applyAlignment="1">
      <alignment horizontal="center"/>
    </xf>
    <xf numFmtId="169" fontId="1" fillId="6" borderId="27" xfId="0" applyNumberFormat="1" applyFont="1" applyFill="1" applyBorder="1" applyAlignment="1">
      <alignment horizontal="center"/>
    </xf>
    <xf numFmtId="0" fontId="1" fillId="6" borderId="28" xfId="0" applyFont="1" applyFill="1" applyBorder="1" applyAlignment="1">
      <alignment horizontal="center"/>
    </xf>
    <xf numFmtId="0" fontId="1" fillId="0" borderId="25" xfId="0" applyFont="1" applyBorder="1"/>
    <xf numFmtId="0" fontId="1" fillId="0" borderId="2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E5BC-2DDA-6040-98C4-BD1B99F846A9}">
  <dimension ref="A1:T23"/>
  <sheetViews>
    <sheetView tabSelected="1" workbookViewId="0">
      <selection activeCell="R5" sqref="R5"/>
    </sheetView>
  </sheetViews>
  <sheetFormatPr baseColWidth="10" defaultRowHeight="16" x14ac:dyDescent="0.2"/>
  <cols>
    <col min="4" max="15" width="6.33203125" customWidth="1"/>
    <col min="16" max="16" width="7.33203125" customWidth="1"/>
    <col min="20" max="20" width="14.33203125" customWidth="1"/>
  </cols>
  <sheetData>
    <row r="1" spans="1:20" ht="17" thickTop="1" x14ac:dyDescent="0.2">
      <c r="A1" s="2"/>
      <c r="B1" s="3" t="s">
        <v>21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</row>
    <row r="2" spans="1:20" x14ac:dyDescent="0.2">
      <c r="A2" s="6"/>
      <c r="B2" s="7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8"/>
    </row>
    <row r="3" spans="1:20" ht="17" thickBot="1" x14ac:dyDescent="0.25">
      <c r="A3" s="6" t="s">
        <v>1</v>
      </c>
      <c r="B3" s="9" t="s">
        <v>2</v>
      </c>
      <c r="C3" s="1"/>
      <c r="D3" s="9">
        <v>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  <c r="N3" s="9">
        <v>11</v>
      </c>
      <c r="O3" s="9">
        <v>12</v>
      </c>
      <c r="P3" s="1"/>
      <c r="Q3" s="1"/>
      <c r="R3" s="1"/>
      <c r="S3" s="1"/>
      <c r="T3" s="8"/>
    </row>
    <row r="4" spans="1:20" x14ac:dyDescent="0.2">
      <c r="A4" s="10"/>
      <c r="B4" s="11" t="s">
        <v>3</v>
      </c>
      <c r="C4" s="9" t="s">
        <v>4</v>
      </c>
      <c r="D4" s="12">
        <v>1</v>
      </c>
      <c r="E4" s="13">
        <v>2</v>
      </c>
      <c r="F4" s="12">
        <v>3</v>
      </c>
      <c r="G4" s="13">
        <v>4</v>
      </c>
      <c r="H4" s="12">
        <v>5</v>
      </c>
      <c r="I4" s="13">
        <v>6</v>
      </c>
      <c r="J4" s="12">
        <v>7</v>
      </c>
      <c r="K4" s="13">
        <v>8</v>
      </c>
      <c r="L4" s="12">
        <v>9</v>
      </c>
      <c r="M4" s="13">
        <v>10</v>
      </c>
      <c r="N4" s="12">
        <v>11</v>
      </c>
      <c r="O4" s="13">
        <v>12</v>
      </c>
      <c r="P4" s="1"/>
      <c r="Q4" s="1"/>
      <c r="R4" s="1"/>
      <c r="S4" s="1"/>
      <c r="T4" s="8"/>
    </row>
    <row r="5" spans="1:20" x14ac:dyDescent="0.2">
      <c r="A5" s="14"/>
      <c r="B5" s="15"/>
      <c r="C5" s="9" t="s">
        <v>5</v>
      </c>
      <c r="D5" s="16">
        <v>1</v>
      </c>
      <c r="E5" s="17">
        <v>2</v>
      </c>
      <c r="F5" s="16">
        <v>3</v>
      </c>
      <c r="G5" s="17">
        <v>4</v>
      </c>
      <c r="H5" s="16">
        <v>5</v>
      </c>
      <c r="I5" s="17">
        <v>6</v>
      </c>
      <c r="J5" s="16">
        <v>7</v>
      </c>
      <c r="K5" s="17">
        <v>8</v>
      </c>
      <c r="L5" s="16">
        <v>9</v>
      </c>
      <c r="M5" s="17">
        <v>10</v>
      </c>
      <c r="N5" s="16">
        <v>11</v>
      </c>
      <c r="O5" s="17">
        <v>12</v>
      </c>
      <c r="P5" s="1"/>
      <c r="Q5" s="1"/>
      <c r="R5" s="1"/>
      <c r="S5" s="1"/>
      <c r="T5" s="8"/>
    </row>
    <row r="6" spans="1:20" x14ac:dyDescent="0.2">
      <c r="A6" s="14"/>
      <c r="B6" s="18" t="s">
        <v>5</v>
      </c>
      <c r="C6" s="9" t="s">
        <v>6</v>
      </c>
      <c r="D6" s="19">
        <v>1</v>
      </c>
      <c r="E6" s="20">
        <v>2</v>
      </c>
      <c r="F6" s="19">
        <v>3</v>
      </c>
      <c r="G6" s="20">
        <v>4</v>
      </c>
      <c r="H6" s="19">
        <v>5</v>
      </c>
      <c r="I6" s="20">
        <v>6</v>
      </c>
      <c r="J6" s="19">
        <v>7</v>
      </c>
      <c r="K6" s="20">
        <v>8</v>
      </c>
      <c r="L6" s="19">
        <v>9</v>
      </c>
      <c r="M6" s="20">
        <v>10</v>
      </c>
      <c r="N6" s="19">
        <v>11</v>
      </c>
      <c r="O6" s="20">
        <v>12</v>
      </c>
      <c r="P6" s="1"/>
      <c r="Q6" s="1"/>
      <c r="R6" s="1"/>
      <c r="S6" s="1"/>
      <c r="T6" s="8"/>
    </row>
    <row r="7" spans="1:20" x14ac:dyDescent="0.2">
      <c r="A7" s="14"/>
      <c r="B7" s="15"/>
      <c r="C7" s="9" t="s">
        <v>7</v>
      </c>
      <c r="D7" s="19">
        <v>1</v>
      </c>
      <c r="E7" s="20">
        <v>2</v>
      </c>
      <c r="F7" s="19">
        <v>3</v>
      </c>
      <c r="G7" s="20">
        <v>4</v>
      </c>
      <c r="H7" s="19">
        <v>5</v>
      </c>
      <c r="I7" s="20">
        <v>6</v>
      </c>
      <c r="J7" s="19">
        <v>7</v>
      </c>
      <c r="K7" s="20">
        <v>8</v>
      </c>
      <c r="L7" s="19">
        <v>9</v>
      </c>
      <c r="M7" s="20">
        <v>10</v>
      </c>
      <c r="N7" s="19">
        <v>11</v>
      </c>
      <c r="O7" s="20">
        <v>12</v>
      </c>
      <c r="P7" s="1"/>
      <c r="Q7" s="1"/>
      <c r="R7" s="1"/>
      <c r="S7" s="1"/>
      <c r="T7" s="8"/>
    </row>
    <row r="8" spans="1:20" x14ac:dyDescent="0.2">
      <c r="A8" s="14"/>
      <c r="B8" s="21" t="s">
        <v>6</v>
      </c>
      <c r="C8" s="9" t="s">
        <v>8</v>
      </c>
      <c r="D8" s="22">
        <v>1</v>
      </c>
      <c r="E8" s="23">
        <v>2</v>
      </c>
      <c r="F8" s="22">
        <v>3</v>
      </c>
      <c r="G8" s="23">
        <v>4</v>
      </c>
      <c r="H8" s="22">
        <v>5</v>
      </c>
      <c r="I8" s="23">
        <v>6</v>
      </c>
      <c r="J8" s="22">
        <v>7</v>
      </c>
      <c r="K8" s="23">
        <v>8</v>
      </c>
      <c r="L8" s="22">
        <v>9</v>
      </c>
      <c r="M8" s="23">
        <v>10</v>
      </c>
      <c r="N8" s="22">
        <v>11</v>
      </c>
      <c r="O8" s="23">
        <v>12</v>
      </c>
      <c r="P8" s="1"/>
      <c r="Q8" s="1"/>
      <c r="R8" s="1"/>
      <c r="S8" s="1"/>
      <c r="T8" s="8"/>
    </row>
    <row r="9" spans="1:20" x14ac:dyDescent="0.2">
      <c r="A9" s="14"/>
      <c r="B9" s="15"/>
      <c r="C9" s="9" t="s">
        <v>9</v>
      </c>
      <c r="D9" s="22">
        <v>1</v>
      </c>
      <c r="E9" s="23">
        <v>2</v>
      </c>
      <c r="F9" s="22">
        <v>3</v>
      </c>
      <c r="G9" s="23">
        <v>4</v>
      </c>
      <c r="H9" s="22">
        <v>5</v>
      </c>
      <c r="I9" s="23">
        <v>6</v>
      </c>
      <c r="J9" s="22">
        <v>7</v>
      </c>
      <c r="K9" s="23">
        <v>8</v>
      </c>
      <c r="L9" s="22">
        <v>9</v>
      </c>
      <c r="M9" s="23">
        <v>10</v>
      </c>
      <c r="N9" s="22">
        <v>11</v>
      </c>
      <c r="O9" s="23">
        <v>12</v>
      </c>
      <c r="P9" s="1"/>
      <c r="Q9" s="1"/>
      <c r="R9" s="1"/>
      <c r="S9" s="1"/>
      <c r="T9" s="8"/>
    </row>
    <row r="10" spans="1:20" x14ac:dyDescent="0.2">
      <c r="A10" s="14"/>
      <c r="B10" s="24" t="s">
        <v>7</v>
      </c>
      <c r="C10" s="9" t="s">
        <v>10</v>
      </c>
      <c r="D10" s="25">
        <v>1</v>
      </c>
      <c r="E10" s="26">
        <v>2</v>
      </c>
      <c r="F10" s="25">
        <v>3</v>
      </c>
      <c r="G10" s="26">
        <v>4</v>
      </c>
      <c r="H10" s="25">
        <v>5</v>
      </c>
      <c r="I10" s="26">
        <v>6</v>
      </c>
      <c r="J10" s="25">
        <v>7</v>
      </c>
      <c r="K10" s="26">
        <v>8</v>
      </c>
      <c r="L10" s="25">
        <v>9</v>
      </c>
      <c r="M10" s="26">
        <v>10</v>
      </c>
      <c r="N10" s="25">
        <v>11</v>
      </c>
      <c r="O10" s="26">
        <v>12</v>
      </c>
      <c r="P10" s="1"/>
      <c r="Q10" s="1"/>
      <c r="R10" s="1"/>
      <c r="S10" s="1"/>
      <c r="T10" s="8"/>
    </row>
    <row r="11" spans="1:20" ht="17" thickBot="1" x14ac:dyDescent="0.25">
      <c r="A11" s="14"/>
      <c r="B11" s="15"/>
      <c r="C11" s="9" t="s">
        <v>11</v>
      </c>
      <c r="D11" s="27">
        <v>1</v>
      </c>
      <c r="E11" s="28">
        <v>2</v>
      </c>
      <c r="F11" s="27">
        <v>3</v>
      </c>
      <c r="G11" s="28">
        <v>4</v>
      </c>
      <c r="H11" s="27">
        <v>5</v>
      </c>
      <c r="I11" s="28">
        <v>6</v>
      </c>
      <c r="J11" s="27">
        <v>7</v>
      </c>
      <c r="K11" s="28">
        <v>8</v>
      </c>
      <c r="L11" s="27">
        <v>9</v>
      </c>
      <c r="M11" s="28">
        <v>10</v>
      </c>
      <c r="N11" s="27">
        <v>11</v>
      </c>
      <c r="O11" s="28">
        <v>12</v>
      </c>
      <c r="P11" s="1"/>
      <c r="Q11" s="1"/>
      <c r="R11" s="1"/>
      <c r="S11" s="1"/>
      <c r="T11" s="8"/>
    </row>
    <row r="12" spans="1:20" x14ac:dyDescent="0.2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29" t="s">
        <v>12</v>
      </c>
      <c r="R12" s="30" t="s">
        <v>13</v>
      </c>
      <c r="S12" s="31" t="str">
        <f>SUM(COUNTA(D4:O5)+COUNTA(D15:O16))&amp;" rxns (+error)"</f>
        <v>48 rxns (+error)</v>
      </c>
      <c r="T12" s="8"/>
    </row>
    <row r="13" spans="1:20" ht="17" thickBot="1" x14ac:dyDescent="0.25">
      <c r="A13" s="6"/>
      <c r="B13" s="7" t="s">
        <v>14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32"/>
      <c r="R13" s="33"/>
      <c r="S13" s="34"/>
      <c r="T13" s="8"/>
    </row>
    <row r="14" spans="1:20" ht="17" thickBot="1" x14ac:dyDescent="0.25">
      <c r="A14" s="6"/>
      <c r="B14" s="9" t="s">
        <v>2</v>
      </c>
      <c r="C14" s="1"/>
      <c r="D14" s="9">
        <v>13</v>
      </c>
      <c r="E14" s="9">
        <v>14</v>
      </c>
      <c r="F14" s="9">
        <v>15</v>
      </c>
      <c r="G14" s="9">
        <v>16</v>
      </c>
      <c r="H14" s="9">
        <v>17</v>
      </c>
      <c r="I14" s="9">
        <v>18</v>
      </c>
      <c r="J14" s="9">
        <v>19</v>
      </c>
      <c r="K14" s="9">
        <v>20</v>
      </c>
      <c r="L14" s="9">
        <v>21</v>
      </c>
      <c r="M14" s="9">
        <v>22</v>
      </c>
      <c r="N14" s="9">
        <v>23</v>
      </c>
      <c r="O14" s="9" t="s">
        <v>15</v>
      </c>
      <c r="P14" s="1"/>
      <c r="Q14" s="35" t="s">
        <v>16</v>
      </c>
      <c r="R14" s="36">
        <v>3.94</v>
      </c>
      <c r="S14" s="37">
        <f t="shared" ref="S14:S17" si="0">R14*(SUM(COUNTA(D4:O5)+COUNTA(D15:O16))+8)</f>
        <v>220.64</v>
      </c>
      <c r="T14" s="8"/>
    </row>
    <row r="15" spans="1:20" x14ac:dyDescent="0.2">
      <c r="A15" s="10"/>
      <c r="B15" s="11" t="s">
        <v>3</v>
      </c>
      <c r="C15" s="9" t="s">
        <v>4</v>
      </c>
      <c r="D15" s="12">
        <v>1</v>
      </c>
      <c r="E15" s="13">
        <v>2</v>
      </c>
      <c r="F15" s="12">
        <v>3</v>
      </c>
      <c r="G15" s="13">
        <v>4</v>
      </c>
      <c r="H15" s="12">
        <v>5</v>
      </c>
      <c r="I15" s="13">
        <v>6</v>
      </c>
      <c r="J15" s="12">
        <v>7</v>
      </c>
      <c r="K15" s="13">
        <v>8</v>
      </c>
      <c r="L15" s="12">
        <v>9</v>
      </c>
      <c r="M15" s="13">
        <v>10</v>
      </c>
      <c r="N15" s="12">
        <v>11</v>
      </c>
      <c r="O15" s="38" t="s">
        <v>15</v>
      </c>
      <c r="P15" s="1"/>
      <c r="Q15" s="35" t="s">
        <v>22</v>
      </c>
      <c r="R15" s="39">
        <v>5</v>
      </c>
      <c r="S15" s="37">
        <f t="shared" si="0"/>
        <v>280</v>
      </c>
      <c r="T15" s="8"/>
    </row>
    <row r="16" spans="1:20" x14ac:dyDescent="0.2">
      <c r="A16" s="14"/>
      <c r="B16" s="15"/>
      <c r="C16" s="9" t="s">
        <v>5</v>
      </c>
      <c r="D16" s="16">
        <v>1</v>
      </c>
      <c r="E16" s="17">
        <v>2</v>
      </c>
      <c r="F16" s="16">
        <v>3</v>
      </c>
      <c r="G16" s="17">
        <v>4</v>
      </c>
      <c r="H16" s="16">
        <v>5</v>
      </c>
      <c r="I16" s="17">
        <v>6</v>
      </c>
      <c r="J16" s="16">
        <v>7</v>
      </c>
      <c r="K16" s="17">
        <v>8</v>
      </c>
      <c r="L16" s="16">
        <v>9</v>
      </c>
      <c r="M16" s="17">
        <v>10</v>
      </c>
      <c r="N16" s="16">
        <v>11</v>
      </c>
      <c r="O16" s="40" t="s">
        <v>15</v>
      </c>
      <c r="P16" s="1"/>
      <c r="Q16" s="35" t="s">
        <v>17</v>
      </c>
      <c r="R16" s="36">
        <v>0.03</v>
      </c>
      <c r="S16" s="37">
        <f t="shared" si="0"/>
        <v>1.68</v>
      </c>
      <c r="T16" s="8"/>
    </row>
    <row r="17" spans="1:20" ht="17" thickBot="1" x14ac:dyDescent="0.25">
      <c r="A17" s="14"/>
      <c r="B17" s="18" t="s">
        <v>5</v>
      </c>
      <c r="C17" s="9" t="s">
        <v>6</v>
      </c>
      <c r="D17" s="19">
        <v>1</v>
      </c>
      <c r="E17" s="20">
        <v>2</v>
      </c>
      <c r="F17" s="19">
        <v>3</v>
      </c>
      <c r="G17" s="20">
        <v>4</v>
      </c>
      <c r="H17" s="19">
        <v>5</v>
      </c>
      <c r="I17" s="20">
        <v>6</v>
      </c>
      <c r="J17" s="19">
        <v>7</v>
      </c>
      <c r="K17" s="20">
        <v>8</v>
      </c>
      <c r="L17" s="19">
        <v>9</v>
      </c>
      <c r="M17" s="20">
        <v>10</v>
      </c>
      <c r="N17" s="19">
        <v>11</v>
      </c>
      <c r="O17" s="41" t="s">
        <v>15</v>
      </c>
      <c r="P17" s="1"/>
      <c r="Q17" s="42" t="s">
        <v>18</v>
      </c>
      <c r="R17" s="43">
        <v>0.03</v>
      </c>
      <c r="S17" s="37">
        <f t="shared" si="0"/>
        <v>1.68</v>
      </c>
      <c r="T17" s="8"/>
    </row>
    <row r="18" spans="1:20" ht="17" thickBot="1" x14ac:dyDescent="0.25">
      <c r="A18" s="14"/>
      <c r="B18" s="15"/>
      <c r="C18" s="9" t="s">
        <v>7</v>
      </c>
      <c r="D18" s="19">
        <v>1</v>
      </c>
      <c r="E18" s="20">
        <v>2</v>
      </c>
      <c r="F18" s="19">
        <v>3</v>
      </c>
      <c r="G18" s="20">
        <v>4</v>
      </c>
      <c r="H18" s="19">
        <v>5</v>
      </c>
      <c r="I18" s="20">
        <v>6</v>
      </c>
      <c r="J18" s="19">
        <v>7</v>
      </c>
      <c r="K18" s="20">
        <v>8</v>
      </c>
      <c r="L18" s="19">
        <v>9</v>
      </c>
      <c r="M18" s="20">
        <v>10</v>
      </c>
      <c r="N18" s="19">
        <v>11</v>
      </c>
      <c r="O18" s="41" t="s">
        <v>15</v>
      </c>
      <c r="P18" s="1"/>
      <c r="Q18" s="44" t="s">
        <v>19</v>
      </c>
      <c r="R18" s="45">
        <f t="shared" ref="R18:S18" si="1">SUM(R14:R17)</f>
        <v>8.9999999999999982</v>
      </c>
      <c r="S18" s="46">
        <f t="shared" si="1"/>
        <v>504</v>
      </c>
      <c r="T18" s="8" t="s">
        <v>20</v>
      </c>
    </row>
    <row r="19" spans="1:20" x14ac:dyDescent="0.2">
      <c r="A19" s="14"/>
      <c r="B19" s="21" t="s">
        <v>6</v>
      </c>
      <c r="C19" s="9" t="s">
        <v>8</v>
      </c>
      <c r="D19" s="22">
        <v>1</v>
      </c>
      <c r="E19" s="23">
        <v>2</v>
      </c>
      <c r="F19" s="22">
        <v>3</v>
      </c>
      <c r="G19" s="23">
        <v>4</v>
      </c>
      <c r="H19" s="22">
        <v>5</v>
      </c>
      <c r="I19" s="23">
        <v>6</v>
      </c>
      <c r="J19" s="22">
        <v>7</v>
      </c>
      <c r="K19" s="23">
        <v>8</v>
      </c>
      <c r="L19" s="22">
        <v>9</v>
      </c>
      <c r="M19" s="23">
        <v>10</v>
      </c>
      <c r="N19" s="22">
        <v>11</v>
      </c>
      <c r="O19" s="47" t="s">
        <v>15</v>
      </c>
      <c r="P19" s="1"/>
      <c r="Q19" s="1"/>
      <c r="R19" s="1"/>
      <c r="S19" s="1"/>
      <c r="T19" s="8"/>
    </row>
    <row r="20" spans="1:20" x14ac:dyDescent="0.2">
      <c r="A20" s="14"/>
      <c r="B20" s="15"/>
      <c r="C20" s="9" t="s">
        <v>9</v>
      </c>
      <c r="D20" s="22">
        <v>1</v>
      </c>
      <c r="E20" s="23">
        <v>2</v>
      </c>
      <c r="F20" s="22">
        <v>3</v>
      </c>
      <c r="G20" s="23">
        <v>4</v>
      </c>
      <c r="H20" s="22">
        <v>5</v>
      </c>
      <c r="I20" s="23">
        <v>6</v>
      </c>
      <c r="J20" s="22">
        <v>7</v>
      </c>
      <c r="K20" s="23">
        <v>8</v>
      </c>
      <c r="L20" s="22">
        <v>9</v>
      </c>
      <c r="M20" s="23">
        <v>10</v>
      </c>
      <c r="N20" s="22">
        <v>11</v>
      </c>
      <c r="O20" s="47" t="s">
        <v>15</v>
      </c>
      <c r="P20" s="1"/>
      <c r="Q20" s="1"/>
      <c r="R20" s="1"/>
      <c r="S20" s="1"/>
      <c r="T20" s="8"/>
    </row>
    <row r="21" spans="1:20" x14ac:dyDescent="0.2">
      <c r="A21" s="14"/>
      <c r="B21" s="24" t="s">
        <v>7</v>
      </c>
      <c r="C21" s="9" t="s">
        <v>10</v>
      </c>
      <c r="D21" s="25">
        <v>1</v>
      </c>
      <c r="E21" s="26">
        <v>2</v>
      </c>
      <c r="F21" s="25">
        <v>3</v>
      </c>
      <c r="G21" s="26">
        <v>4</v>
      </c>
      <c r="H21" s="25">
        <v>5</v>
      </c>
      <c r="I21" s="26">
        <v>6</v>
      </c>
      <c r="J21" s="25">
        <v>7</v>
      </c>
      <c r="K21" s="26">
        <v>8</v>
      </c>
      <c r="L21" s="25">
        <v>9</v>
      </c>
      <c r="M21" s="26">
        <v>10</v>
      </c>
      <c r="N21" s="25">
        <v>11</v>
      </c>
      <c r="O21" s="48" t="s">
        <v>15</v>
      </c>
      <c r="P21" s="1"/>
      <c r="Q21" s="1"/>
      <c r="R21" s="1"/>
      <c r="S21" s="1"/>
      <c r="T21" s="8"/>
    </row>
    <row r="22" spans="1:20" ht="17" thickBot="1" x14ac:dyDescent="0.25">
      <c r="A22" s="49"/>
      <c r="B22" s="50"/>
      <c r="C22" s="51" t="s">
        <v>11</v>
      </c>
      <c r="D22" s="52">
        <v>1</v>
      </c>
      <c r="E22" s="53">
        <v>2</v>
      </c>
      <c r="F22" s="52">
        <v>3</v>
      </c>
      <c r="G22" s="53">
        <v>4</v>
      </c>
      <c r="H22" s="52">
        <v>5</v>
      </c>
      <c r="I22" s="53">
        <v>6</v>
      </c>
      <c r="J22" s="52">
        <v>7</v>
      </c>
      <c r="K22" s="53">
        <v>8</v>
      </c>
      <c r="L22" s="52">
        <v>9</v>
      </c>
      <c r="M22" s="53">
        <v>10</v>
      </c>
      <c r="N22" s="52">
        <v>11</v>
      </c>
      <c r="O22" s="54" t="s">
        <v>15</v>
      </c>
      <c r="P22" s="55"/>
      <c r="Q22" s="55"/>
      <c r="R22" s="55"/>
      <c r="S22" s="55"/>
      <c r="T22" s="56"/>
    </row>
    <row r="23" spans="1:20" ht="17" thickTop="1" x14ac:dyDescent="0.2"/>
  </sheetData>
  <mergeCells count="13">
    <mergeCell ref="R12:R13"/>
    <mergeCell ref="S12:S13"/>
    <mergeCell ref="A15:A22"/>
    <mergeCell ref="B15:B16"/>
    <mergeCell ref="B17:B18"/>
    <mergeCell ref="B19:B20"/>
    <mergeCell ref="B21:B22"/>
    <mergeCell ref="A4:A11"/>
    <mergeCell ref="B4:B5"/>
    <mergeCell ref="B6:B7"/>
    <mergeCell ref="B8:B9"/>
    <mergeCell ref="B10:B11"/>
    <mergeCell ref="Q12:Q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Studivan</dc:creator>
  <cp:lastModifiedBy>Michael Studivan</cp:lastModifiedBy>
  <dcterms:created xsi:type="dcterms:W3CDTF">2026-06-12T21:38:31Z</dcterms:created>
  <dcterms:modified xsi:type="dcterms:W3CDTF">2026-06-12T21:42:12Z</dcterms:modified>
</cp:coreProperties>
</file>